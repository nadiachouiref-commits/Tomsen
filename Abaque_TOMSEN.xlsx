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diachouiref/formation_testeur_logiciel/P11/"/>
    </mc:Choice>
  </mc:AlternateContent>
  <xr:revisionPtr revIDLastSave="0" documentId="13_ncr:1_{BECBB7E0-29DE-9E41-9115-8F902F3357DE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D70" i="1"/>
  <c r="D69" i="1"/>
  <c r="D68" i="1"/>
  <c r="D67" i="1"/>
  <c r="E66" i="1"/>
  <c r="D66" i="1"/>
  <c r="F66" i="1" s="1"/>
  <c r="D65" i="1"/>
  <c r="D64" i="1"/>
  <c r="E63" i="1"/>
  <c r="E59" i="1"/>
  <c r="E58" i="1"/>
  <c r="E56" i="1"/>
  <c r="E53" i="1"/>
  <c r="D51" i="1"/>
  <c r="E50" i="1"/>
  <c r="E49" i="1"/>
  <c r="F49" i="1" s="1"/>
  <c r="D49" i="1"/>
  <c r="D48" i="1"/>
  <c r="E46" i="1"/>
  <c r="E43" i="1"/>
  <c r="D43" i="1"/>
  <c r="F43" i="1" s="1"/>
  <c r="E41" i="1"/>
  <c r="E40" i="1"/>
  <c r="E39" i="1"/>
  <c r="F39" i="1" s="1"/>
  <c r="D39" i="1"/>
  <c r="E38" i="1"/>
  <c r="E36" i="1"/>
  <c r="D36" i="1"/>
  <c r="F36" i="1" s="1"/>
  <c r="E34" i="1"/>
  <c r="E33" i="1"/>
  <c r="D33" i="1"/>
  <c r="F33" i="1" s="1"/>
  <c r="E31" i="1"/>
  <c r="E30" i="1"/>
  <c r="H22" i="1"/>
  <c r="D22" i="1"/>
  <c r="H21" i="1"/>
  <c r="E54" i="1" s="1"/>
  <c r="D21" i="1"/>
  <c r="D61" i="1" s="1"/>
  <c r="H20" i="1"/>
  <c r="E64" i="1" s="1"/>
  <c r="F64" i="1" s="1"/>
  <c r="F71" i="1" l="1"/>
  <c r="F72" i="1"/>
  <c r="F48" i="1"/>
  <c r="F73" i="1"/>
  <c r="D40" i="1"/>
  <c r="F40" i="1" s="1"/>
  <c r="D38" i="1"/>
  <c r="F38" i="1" s="1"/>
  <c r="E51" i="1"/>
  <c r="F51" i="1" s="1"/>
  <c r="D58" i="1"/>
  <c r="F58" i="1" s="1"/>
  <c r="E61" i="1"/>
  <c r="F61" i="1" s="1"/>
  <c r="E71" i="1"/>
  <c r="D56" i="1"/>
  <c r="F56" i="1" s="1"/>
  <c r="D35" i="1"/>
  <c r="F35" i="1" s="1"/>
  <c r="E48" i="1"/>
  <c r="E68" i="1"/>
  <c r="F68" i="1" s="1"/>
  <c r="D32" i="1"/>
  <c r="F32" i="1" s="1"/>
  <c r="E35" i="1"/>
  <c r="D42" i="1"/>
  <c r="E45" i="1"/>
  <c r="D52" i="1"/>
  <c r="F52" i="1" s="1"/>
  <c r="E55" i="1"/>
  <c r="D62" i="1"/>
  <c r="F62" i="1" s="1"/>
  <c r="E65" i="1"/>
  <c r="F65" i="1" s="1"/>
  <c r="D50" i="1"/>
  <c r="F50" i="1" s="1"/>
  <c r="D45" i="1"/>
  <c r="F45" i="1" s="1"/>
  <c r="D55" i="1"/>
  <c r="F55" i="1" s="1"/>
  <c r="E32" i="1"/>
  <c r="E42" i="1"/>
  <c r="E52" i="1"/>
  <c r="D59" i="1"/>
  <c r="F59" i="1" s="1"/>
  <c r="E62" i="1"/>
  <c r="E72" i="1"/>
  <c r="E69" i="1"/>
  <c r="F69" i="1" s="1"/>
  <c r="E73" i="1"/>
  <c r="E70" i="1"/>
  <c r="F70" i="1" s="1"/>
  <c r="D30" i="1"/>
  <c r="F30" i="1" s="1"/>
  <c r="D60" i="1"/>
  <c r="D37" i="1"/>
  <c r="D47" i="1"/>
  <c r="D57" i="1"/>
  <c r="F57" i="1" s="1"/>
  <c r="E60" i="1"/>
  <c r="D34" i="1"/>
  <c r="F34" i="1" s="1"/>
  <c r="E37" i="1"/>
  <c r="D44" i="1"/>
  <c r="E47" i="1"/>
  <c r="D54" i="1"/>
  <c r="F54" i="1" s="1"/>
  <c r="E57" i="1"/>
  <c r="E67" i="1"/>
  <c r="F67" i="1" s="1"/>
  <c r="D46" i="1"/>
  <c r="F46" i="1" s="1"/>
  <c r="D53" i="1"/>
  <c r="F53" i="1" s="1"/>
  <c r="D63" i="1"/>
  <c r="F63" i="1" s="1"/>
  <c r="D31" i="1"/>
  <c r="F31" i="1" s="1"/>
  <c r="D41" i="1"/>
  <c r="F41" i="1" s="1"/>
  <c r="E44" i="1"/>
  <c r="F44" i="1" l="1"/>
  <c r="F47" i="1"/>
  <c r="F37" i="1"/>
  <c r="I75" i="1" s="1"/>
  <c r="I76" i="1" s="1"/>
  <c r="F42" i="1"/>
  <c r="F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une introduction à ajouter? comment on utilise ce doc etc
	-Ania Khazina</t>
        </r>
      </text>
    </comment>
  </commentList>
</comments>
</file>

<file path=xl/sharedStrings.xml><?xml version="1.0" encoding="utf-8"?>
<sst xmlns="http://schemas.openxmlformats.org/spreadsheetml/2006/main" count="123" uniqueCount="64">
  <si>
    <t>Abaque - Test logiciel</t>
  </si>
  <si>
    <t>Pondération</t>
  </si>
  <si>
    <t>Type de scénario</t>
  </si>
  <si>
    <t>Nombre de cas de tests</t>
  </si>
  <si>
    <t>Simple</t>
  </si>
  <si>
    <t>0-2</t>
  </si>
  <si>
    <t>Moyen</t>
  </si>
  <si>
    <t>Complexe</t>
  </si>
  <si>
    <t>10 et plus</t>
  </si>
  <si>
    <t>Conception</t>
  </si>
  <si>
    <t>Exécution</t>
  </si>
  <si>
    <t>Temps en min</t>
  </si>
  <si>
    <t>Temps en heure</t>
  </si>
  <si>
    <t>Non applicable</t>
  </si>
  <si>
    <t>Scénario</t>
  </si>
  <si>
    <t>Complexité</t>
  </si>
  <si>
    <t>Total (en h)</t>
  </si>
  <si>
    <t>SC-1</t>
  </si>
  <si>
    <t>SC-2</t>
  </si>
  <si>
    <t>SC-3</t>
  </si>
  <si>
    <t>SC-4</t>
  </si>
  <si>
    <t>SC-5</t>
  </si>
  <si>
    <t>SC-6</t>
  </si>
  <si>
    <t>SC-7</t>
  </si>
  <si>
    <t>SC-8</t>
  </si>
  <si>
    <t>SC-9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</si>
  <si>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</si>
  <si>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</si>
  <si>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</si>
  <si>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</si>
  <si>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</si>
  <si>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</si>
  <si>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</si>
  <si>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</si>
  <si>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</si>
  <si>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</si>
  <si>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</si>
  <si>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</si>
  <si>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</si>
  <si>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</si>
  <si>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</si>
  <si>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</si>
  <si>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</si>
  <si>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</si>
  <si>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</si>
  <si>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</si>
  <si>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</si>
  <si>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</si>
  <si>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</si>
  <si>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</si>
  <si>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</si>
  <si>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NR-1</t>
  </si>
  <si>
    <t>NR-2</t>
  </si>
  <si>
    <t>NR-3</t>
  </si>
  <si>
    <t>NR-4</t>
  </si>
  <si>
    <t>NR-5</t>
  </si>
  <si>
    <t>NR-6</t>
  </si>
  <si>
    <t>NR-7</t>
  </si>
  <si>
    <t>NR-8</t>
  </si>
  <si>
    <t>NR-9</t>
  </si>
  <si>
    <t>NR-10</t>
  </si>
  <si>
    <t>Total (en jours)</t>
  </si>
  <si>
    <t xml:space="preserve">
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</si>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</sst>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6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</fills>
  <borders count="12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164" fontId="3" fillId="3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3" borderId="0" xfId="0" applyFont="1" applyFill="1"/>
    <xf numFmtId="0" fontId="3" fillId="2" borderId="4" xfId="0" applyFont="1" applyFill="1" applyBorder="1"/>
    <xf numFmtId="4" fontId="3" fillId="2" borderId="5" xfId="0" applyNumberFormat="1" applyFont="1" applyFill="1" applyBorder="1"/>
    <xf numFmtId="4" fontId="3" fillId="2" borderId="6" xfId="0" applyNumberFormat="1" applyFont="1" applyFill="1" applyBorder="1"/>
    <xf numFmtId="0" fontId="3" fillId="3" borderId="0" xfId="0" applyFont="1" applyFill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6" xfId="0" applyFont="1" applyFill="1" applyBorder="1"/>
    <xf numFmtId="0" fontId="4" fillId="4" borderId="0" xfId="0" applyFont="1" applyFill="1"/>
    <xf numFmtId="0" fontId="5" fillId="4" borderId="0" xfId="0" applyFont="1" applyFill="1" applyAlignment="1">
      <alignment horizontal="right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M76"/>
  <sheetViews>
    <sheetView showGridLines="0" tabSelected="1" topLeftCell="A47" workbookViewId="0">
      <selection activeCell="J58" sqref="J58"/>
    </sheetView>
  </sheetViews>
  <sheetFormatPr baseColWidth="10" defaultColWidth="12.6640625" defaultRowHeight="15.75" customHeight="1" x14ac:dyDescent="0.15"/>
  <cols>
    <col min="2" max="2" width="15.5" customWidth="1"/>
    <col min="3" max="3" width="19.6640625" customWidth="1"/>
    <col min="4" max="4" width="14.5" customWidth="1"/>
    <col min="6" max="6" width="15.5" customWidth="1"/>
    <col min="7" max="7" width="12.33203125" customWidth="1"/>
    <col min="8" max="9" width="14.6640625" customWidth="1"/>
    <col min="10" max="10" width="18.1640625" customWidth="1"/>
    <col min="12" max="12" width="15.33203125" customWidth="1"/>
    <col min="13" max="13" width="79.83203125" customWidth="1"/>
    <col min="14" max="14" width="14.6640625" customWidth="1"/>
  </cols>
  <sheetData>
    <row r="1" spans="2:13" ht="20" x14ac:dyDescent="0.2">
      <c r="E1" s="31" t="s">
        <v>0</v>
      </c>
      <c r="F1" s="30"/>
      <c r="G1" s="30"/>
    </row>
    <row r="2" spans="2:13" ht="15" customHeight="1" x14ac:dyDescent="0.15">
      <c r="B2" s="1"/>
      <c r="C2" s="1"/>
      <c r="D2" s="1"/>
      <c r="E2" s="2"/>
      <c r="J2" s="2"/>
      <c r="K2" s="2"/>
      <c r="L2" s="2"/>
      <c r="M2" s="2"/>
    </row>
    <row r="3" spans="2:13" ht="15" customHeight="1" x14ac:dyDescent="0.15">
      <c r="B3" s="1"/>
      <c r="C3" s="1"/>
      <c r="D3" s="1"/>
      <c r="E3" s="2"/>
      <c r="J3" s="2"/>
      <c r="K3" s="2"/>
      <c r="L3" s="2"/>
      <c r="M3" s="2"/>
    </row>
    <row r="4" spans="2:13" ht="15" customHeight="1" x14ac:dyDescent="0.15">
      <c r="B4" s="1"/>
      <c r="C4" s="1"/>
      <c r="D4" s="1"/>
      <c r="J4" s="2"/>
      <c r="K4" s="2"/>
      <c r="L4" s="2"/>
      <c r="M4" s="2"/>
    </row>
    <row r="5" spans="2:13" ht="15" customHeight="1" x14ac:dyDescent="0.15">
      <c r="B5" s="1"/>
      <c r="C5" s="1"/>
      <c r="D5" s="1"/>
      <c r="J5" s="2"/>
      <c r="K5" s="2"/>
      <c r="L5" s="2"/>
      <c r="M5" s="2"/>
    </row>
    <row r="6" spans="2:13" ht="13" x14ac:dyDescent="0.15">
      <c r="B6" s="27" t="s">
        <v>1</v>
      </c>
      <c r="C6" s="28"/>
      <c r="D6" s="1"/>
      <c r="J6" s="32" t="s">
        <v>62</v>
      </c>
      <c r="K6" s="30"/>
      <c r="L6" s="30"/>
      <c r="M6" s="30"/>
    </row>
    <row r="7" spans="2:13" ht="13" x14ac:dyDescent="0.15">
      <c r="B7" s="3" t="s">
        <v>2</v>
      </c>
      <c r="C7" s="3" t="s">
        <v>3</v>
      </c>
      <c r="J7" s="30"/>
      <c r="K7" s="30"/>
      <c r="L7" s="30"/>
      <c r="M7" s="30"/>
    </row>
    <row r="8" spans="2:13" ht="13" x14ac:dyDescent="0.15">
      <c r="B8" s="4" t="s">
        <v>4</v>
      </c>
      <c r="C8" s="5" t="s">
        <v>5</v>
      </c>
      <c r="J8" s="30"/>
      <c r="K8" s="30"/>
      <c r="L8" s="30"/>
      <c r="M8" s="30"/>
    </row>
    <row r="9" spans="2:13" ht="13" x14ac:dyDescent="0.15">
      <c r="B9" s="3" t="s">
        <v>6</v>
      </c>
      <c r="C9" s="6">
        <v>45172</v>
      </c>
      <c r="J9" s="30"/>
      <c r="K9" s="30"/>
      <c r="L9" s="30"/>
      <c r="M9" s="30"/>
    </row>
    <row r="10" spans="2:13" ht="13" x14ac:dyDescent="0.15">
      <c r="B10" s="4" t="s">
        <v>7</v>
      </c>
      <c r="C10" s="7" t="s">
        <v>8</v>
      </c>
      <c r="J10" s="30"/>
      <c r="K10" s="30"/>
      <c r="L10" s="30"/>
      <c r="M10" s="30"/>
    </row>
    <row r="11" spans="2:13" ht="13" x14ac:dyDescent="0.15">
      <c r="J11" s="30"/>
      <c r="K11" s="30"/>
      <c r="L11" s="30"/>
      <c r="M11" s="30"/>
    </row>
    <row r="18" spans="2:13" ht="13" x14ac:dyDescent="0.15">
      <c r="B18" s="27" t="s">
        <v>9</v>
      </c>
      <c r="C18" s="29"/>
      <c r="D18" s="28"/>
      <c r="F18" s="27" t="s">
        <v>10</v>
      </c>
      <c r="G18" s="29"/>
      <c r="H18" s="28"/>
      <c r="I18" s="1"/>
      <c r="J18" s="32" t="s">
        <v>62</v>
      </c>
      <c r="K18" s="30"/>
      <c r="L18" s="30"/>
      <c r="M18" s="30"/>
    </row>
    <row r="19" spans="2:13" ht="13" x14ac:dyDescent="0.15">
      <c r="B19" s="3" t="s">
        <v>2</v>
      </c>
      <c r="C19" s="3" t="s">
        <v>11</v>
      </c>
      <c r="D19" s="3" t="s">
        <v>12</v>
      </c>
      <c r="F19" s="3" t="s">
        <v>2</v>
      </c>
      <c r="G19" s="3" t="s">
        <v>11</v>
      </c>
      <c r="H19" s="3" t="s">
        <v>12</v>
      </c>
      <c r="I19" s="8"/>
      <c r="J19" s="30"/>
      <c r="K19" s="30"/>
      <c r="L19" s="30"/>
      <c r="M19" s="30"/>
    </row>
    <row r="20" spans="2:13" ht="13" x14ac:dyDescent="0.15">
      <c r="B20" s="4" t="s">
        <v>4</v>
      </c>
      <c r="C20" s="9">
        <v>30</v>
      </c>
      <c r="D20" s="10">
        <v>0.5</v>
      </c>
      <c r="F20" s="4" t="s">
        <v>4</v>
      </c>
      <c r="G20" s="9">
        <v>90</v>
      </c>
      <c r="H20" s="11">
        <f>G20/60</f>
        <v>1.5</v>
      </c>
      <c r="I20" s="12"/>
      <c r="J20" s="30"/>
      <c r="K20" s="30"/>
      <c r="L20" s="30"/>
      <c r="M20" s="30"/>
    </row>
    <row r="21" spans="2:13" ht="13" x14ac:dyDescent="0.15">
      <c r="B21" s="3" t="s">
        <v>6</v>
      </c>
      <c r="C21" s="13">
        <v>90</v>
      </c>
      <c r="D21" s="14">
        <f>C21/60</f>
        <v>1.5</v>
      </c>
      <c r="F21" s="3" t="s">
        <v>6</v>
      </c>
      <c r="G21" s="13">
        <v>270</v>
      </c>
      <c r="H21" s="15">
        <f>G21/60</f>
        <v>4.5</v>
      </c>
      <c r="I21" s="12"/>
      <c r="J21" s="30"/>
      <c r="K21" s="30"/>
      <c r="L21" s="30"/>
      <c r="M21" s="30"/>
    </row>
    <row r="22" spans="2:13" ht="13" x14ac:dyDescent="0.15">
      <c r="B22" s="4" t="s">
        <v>7</v>
      </c>
      <c r="C22" s="16">
        <v>120</v>
      </c>
      <c r="D22" s="17">
        <f>C22/60</f>
        <v>2</v>
      </c>
      <c r="F22" s="4" t="s">
        <v>7</v>
      </c>
      <c r="G22" s="9">
        <v>360</v>
      </c>
      <c r="H22" s="18">
        <f>G22/60</f>
        <v>6</v>
      </c>
      <c r="I22" s="12"/>
      <c r="J22" s="30"/>
      <c r="K22" s="30"/>
      <c r="L22" s="30"/>
      <c r="M22" s="30"/>
    </row>
    <row r="23" spans="2:13" ht="13" x14ac:dyDescent="0.15">
      <c r="B23" s="19" t="s">
        <v>13</v>
      </c>
      <c r="C23" s="20">
        <v>0</v>
      </c>
      <c r="D23" s="20">
        <v>0</v>
      </c>
      <c r="F23" s="19" t="s">
        <v>13</v>
      </c>
      <c r="G23" s="20">
        <v>0</v>
      </c>
      <c r="H23" s="20">
        <v>0</v>
      </c>
      <c r="I23" s="12"/>
      <c r="J23" s="30"/>
      <c r="K23" s="30"/>
      <c r="L23" s="30"/>
      <c r="M23" s="30"/>
    </row>
    <row r="24" spans="2:13" ht="13" x14ac:dyDescent="0.15">
      <c r="I24" s="12"/>
      <c r="J24" s="30"/>
      <c r="K24" s="30"/>
      <c r="L24" s="30"/>
      <c r="M24" s="30"/>
    </row>
    <row r="29" spans="2:13" ht="70" x14ac:dyDescent="0.15">
      <c r="B29" s="21" t="s">
        <v>14</v>
      </c>
      <c r="C29" s="21" t="s">
        <v>15</v>
      </c>
      <c r="D29" s="21" t="s">
        <v>9</v>
      </c>
      <c r="E29" s="21" t="s">
        <v>10</v>
      </c>
      <c r="F29" s="21" t="s">
        <v>16</v>
      </c>
      <c r="J29" s="33" t="s">
        <v>63</v>
      </c>
      <c r="K29" s="2"/>
      <c r="L29" s="2"/>
      <c r="M29" s="2"/>
    </row>
    <row r="30" spans="2:13" ht="13" x14ac:dyDescent="0.15">
      <c r="B30" s="22" t="s">
        <v>17</v>
      </c>
      <c r="C30" s="23" t="s">
        <v>6</v>
      </c>
      <c r="D30" s="24">
        <f t="shared" ref="D30:D73" si="0">INDEX(D$20:D$23,MATCH(C30,B$20:B$23,0))</f>
        <v>1.5</v>
      </c>
      <c r="E30" s="24">
        <f t="shared" ref="E30:E73" si="1">INDEX(H$20:H$23,MATCH(C30,F$20:F$23,0))</f>
        <v>4.5</v>
      </c>
      <c r="F30" s="24">
        <f t="shared" ref="F30:F73" si="2">SUM(D30:E30)</f>
        <v>6</v>
      </c>
      <c r="J30" s="2"/>
      <c r="K30" s="2"/>
      <c r="L30" s="2"/>
      <c r="M30" s="2"/>
    </row>
    <row r="31" spans="2:13" ht="13" x14ac:dyDescent="0.15">
      <c r="B31" s="22" t="s">
        <v>18</v>
      </c>
      <c r="C31" s="23" t="s">
        <v>6</v>
      </c>
      <c r="D31" s="24">
        <f t="shared" si="0"/>
        <v>1.5</v>
      </c>
      <c r="E31" s="24">
        <f t="shared" si="1"/>
        <v>4.5</v>
      </c>
      <c r="F31" s="24">
        <f t="shared" si="2"/>
        <v>6</v>
      </c>
      <c r="J31" s="2"/>
      <c r="K31" s="2"/>
      <c r="L31" s="2"/>
      <c r="M31" s="2"/>
    </row>
    <row r="32" spans="2:13" ht="13" x14ac:dyDescent="0.15">
      <c r="B32" s="22" t="s">
        <v>19</v>
      </c>
      <c r="C32" s="23" t="s">
        <v>6</v>
      </c>
      <c r="D32" s="24">
        <f t="shared" si="0"/>
        <v>1.5</v>
      </c>
      <c r="E32" s="24">
        <f t="shared" si="1"/>
        <v>4.5</v>
      </c>
      <c r="F32" s="24">
        <f t="shared" si="2"/>
        <v>6</v>
      </c>
      <c r="J32" s="2"/>
      <c r="K32" s="2"/>
      <c r="L32" s="2"/>
      <c r="M32" s="2"/>
    </row>
    <row r="33" spans="2:13" ht="13" x14ac:dyDescent="0.15">
      <c r="B33" s="22" t="s">
        <v>20</v>
      </c>
      <c r="C33" s="23" t="s">
        <v>4</v>
      </c>
      <c r="D33" s="24">
        <f t="shared" si="0"/>
        <v>0.5</v>
      </c>
      <c r="E33" s="24">
        <f t="shared" si="1"/>
        <v>1.5</v>
      </c>
      <c r="F33" s="24">
        <f t="shared" si="2"/>
        <v>2</v>
      </c>
      <c r="J33" s="2"/>
      <c r="K33" s="2"/>
      <c r="L33" s="2"/>
      <c r="M33" s="2"/>
    </row>
    <row r="34" spans="2:13" ht="13" x14ac:dyDescent="0.15">
      <c r="B34" s="22" t="s">
        <v>21</v>
      </c>
      <c r="C34" s="23" t="s">
        <v>6</v>
      </c>
      <c r="D34" s="24">
        <f t="shared" si="0"/>
        <v>1.5</v>
      </c>
      <c r="E34" s="24">
        <f t="shared" si="1"/>
        <v>4.5</v>
      </c>
      <c r="F34" s="24">
        <f t="shared" si="2"/>
        <v>6</v>
      </c>
      <c r="J34" s="2"/>
      <c r="K34" s="2"/>
      <c r="L34" s="2"/>
      <c r="M34" s="2"/>
    </row>
    <row r="35" spans="2:13" ht="13" x14ac:dyDescent="0.15">
      <c r="B35" s="22" t="s">
        <v>22</v>
      </c>
      <c r="C35" s="23" t="s">
        <v>6</v>
      </c>
      <c r="D35" s="24">
        <f t="shared" si="0"/>
        <v>1.5</v>
      </c>
      <c r="E35" s="24">
        <f t="shared" si="1"/>
        <v>4.5</v>
      </c>
      <c r="F35" s="24">
        <f t="shared" si="2"/>
        <v>6</v>
      </c>
      <c r="J35" s="2"/>
      <c r="K35" s="2"/>
      <c r="L35" s="2"/>
      <c r="M35" s="2"/>
    </row>
    <row r="36" spans="2:13" ht="13" x14ac:dyDescent="0.15">
      <c r="B36" s="22" t="s">
        <v>23</v>
      </c>
      <c r="C36" s="23" t="s">
        <v>4</v>
      </c>
      <c r="D36" s="24">
        <f t="shared" si="0"/>
        <v>0.5</v>
      </c>
      <c r="E36" s="24">
        <f t="shared" si="1"/>
        <v>1.5</v>
      </c>
      <c r="F36" s="24">
        <f t="shared" si="2"/>
        <v>2</v>
      </c>
      <c r="J36" s="2"/>
      <c r="K36" s="2"/>
      <c r="L36" s="2"/>
      <c r="M36" s="2"/>
    </row>
    <row r="37" spans="2:13" ht="13" x14ac:dyDescent="0.15">
      <c r="B37" s="22" t="s">
        <v>24</v>
      </c>
      <c r="C37" s="23" t="s">
        <v>6</v>
      </c>
      <c r="D37" s="24">
        <f t="shared" si="0"/>
        <v>1.5</v>
      </c>
      <c r="E37" s="24">
        <f t="shared" si="1"/>
        <v>4.5</v>
      </c>
      <c r="F37" s="24">
        <f t="shared" si="2"/>
        <v>6</v>
      </c>
      <c r="J37" s="2"/>
      <c r="K37" s="2"/>
      <c r="L37" s="2"/>
      <c r="M37" s="2"/>
    </row>
    <row r="38" spans="2:13" ht="13" x14ac:dyDescent="0.15">
      <c r="B38" s="22" t="s">
        <v>25</v>
      </c>
      <c r="C38" s="23" t="s">
        <v>6</v>
      </c>
      <c r="D38" s="24">
        <f t="shared" si="0"/>
        <v>1.5</v>
      </c>
      <c r="E38" s="24">
        <f t="shared" si="1"/>
        <v>4.5</v>
      </c>
      <c r="F38" s="24">
        <f t="shared" si="2"/>
        <v>6</v>
      </c>
      <c r="J38" s="2"/>
      <c r="K38" s="2"/>
      <c r="L38" s="2"/>
      <c r="M38" s="2"/>
    </row>
    <row r="39" spans="2:13" ht="13" x14ac:dyDescent="0.15">
      <c r="B39" s="22" t="s">
        <v>26</v>
      </c>
      <c r="C39" s="23" t="s">
        <v>4</v>
      </c>
      <c r="D39" s="24">
        <f t="shared" si="0"/>
        <v>0.5</v>
      </c>
      <c r="E39" s="24">
        <f t="shared" si="1"/>
        <v>1.5</v>
      </c>
      <c r="F39" s="24">
        <f t="shared" si="2"/>
        <v>2</v>
      </c>
      <c r="J39" s="2"/>
      <c r="K39" s="2"/>
      <c r="L39" s="2"/>
      <c r="M39" s="2"/>
    </row>
    <row r="40" spans="2:13" ht="13" x14ac:dyDescent="0.15">
      <c r="B40" s="22" t="s">
        <v>27</v>
      </c>
      <c r="C40" s="23" t="s">
        <v>6</v>
      </c>
      <c r="D40" s="24">
        <f t="shared" si="0"/>
        <v>1.5</v>
      </c>
      <c r="E40" s="24">
        <f t="shared" si="1"/>
        <v>4.5</v>
      </c>
      <c r="F40" s="24">
        <f t="shared" si="2"/>
        <v>6</v>
      </c>
      <c r="J40" s="2"/>
      <c r="K40" s="2"/>
      <c r="L40" s="2"/>
      <c r="M40" s="2"/>
    </row>
    <row r="41" spans="2:13" ht="13" x14ac:dyDescent="0.15">
      <c r="B41" s="22" t="s">
        <v>28</v>
      </c>
      <c r="C41" s="23" t="s">
        <v>6</v>
      </c>
      <c r="D41" s="24">
        <f t="shared" si="0"/>
        <v>1.5</v>
      </c>
      <c r="E41" s="24">
        <f t="shared" si="1"/>
        <v>4.5</v>
      </c>
      <c r="F41" s="24">
        <f t="shared" si="2"/>
        <v>6</v>
      </c>
      <c r="J41" s="2"/>
      <c r="K41" s="2"/>
      <c r="L41" s="2"/>
      <c r="M41" s="2"/>
    </row>
    <row r="42" spans="2:13" ht="13" x14ac:dyDescent="0.15">
      <c r="B42" s="22" t="s">
        <v>29</v>
      </c>
      <c r="C42" s="23" t="s">
        <v>6</v>
      </c>
      <c r="D42" s="24">
        <f t="shared" si="0"/>
        <v>1.5</v>
      </c>
      <c r="E42" s="24">
        <f t="shared" si="1"/>
        <v>4.5</v>
      </c>
      <c r="F42" s="24">
        <f t="shared" si="2"/>
        <v>6</v>
      </c>
      <c r="J42" s="2"/>
      <c r="K42" s="2"/>
      <c r="L42" s="2"/>
      <c r="M42" s="2"/>
    </row>
    <row r="43" spans="2:13" ht="13" x14ac:dyDescent="0.15">
      <c r="B43" s="22" t="s">
        <v>30</v>
      </c>
      <c r="C43" s="23" t="s">
        <v>4</v>
      </c>
      <c r="D43" s="24">
        <f t="shared" si="0"/>
        <v>0.5</v>
      </c>
      <c r="E43" s="24">
        <f t="shared" si="1"/>
        <v>1.5</v>
      </c>
      <c r="F43" s="24">
        <f t="shared" si="2"/>
        <v>2</v>
      </c>
      <c r="J43" s="2"/>
      <c r="K43" s="2"/>
      <c r="L43" s="2"/>
      <c r="M43" s="2"/>
    </row>
    <row r="44" spans="2:13" ht="13" x14ac:dyDescent="0.15">
      <c r="B44" s="22" t="s">
        <v>31</v>
      </c>
      <c r="C44" s="23" t="s">
        <v>6</v>
      </c>
      <c r="D44" s="24">
        <f t="shared" si="0"/>
        <v>1.5</v>
      </c>
      <c r="E44" s="24">
        <f t="shared" si="1"/>
        <v>4.5</v>
      </c>
      <c r="F44" s="24">
        <f t="shared" si="2"/>
        <v>6</v>
      </c>
      <c r="J44" s="2"/>
      <c r="K44" s="2"/>
      <c r="L44" s="2"/>
      <c r="M44" s="2"/>
    </row>
    <row r="45" spans="2:13" ht="13" x14ac:dyDescent="0.15">
      <c r="B45" s="22" t="s">
        <v>32</v>
      </c>
      <c r="C45" s="23" t="s">
        <v>6</v>
      </c>
      <c r="D45" s="24">
        <f t="shared" si="0"/>
        <v>1.5</v>
      </c>
      <c r="E45" s="24">
        <f t="shared" si="1"/>
        <v>4.5</v>
      </c>
      <c r="F45" s="24">
        <f t="shared" si="2"/>
        <v>6</v>
      </c>
      <c r="J45" s="2"/>
      <c r="K45" s="2"/>
      <c r="L45" s="2"/>
      <c r="M45" s="2"/>
    </row>
    <row r="46" spans="2:13" ht="13" x14ac:dyDescent="0.15">
      <c r="B46" s="22" t="s">
        <v>33</v>
      </c>
      <c r="C46" s="23" t="s">
        <v>6</v>
      </c>
      <c r="D46" s="24">
        <f t="shared" si="0"/>
        <v>1.5</v>
      </c>
      <c r="E46" s="24">
        <f t="shared" si="1"/>
        <v>4.5</v>
      </c>
      <c r="F46" s="24">
        <f t="shared" si="2"/>
        <v>6</v>
      </c>
      <c r="J46" s="2"/>
      <c r="K46" s="2"/>
      <c r="L46" s="2"/>
      <c r="M46" s="2"/>
    </row>
    <row r="47" spans="2:13" ht="13" x14ac:dyDescent="0.15">
      <c r="B47" s="22" t="s">
        <v>34</v>
      </c>
      <c r="C47" s="23" t="s">
        <v>6</v>
      </c>
      <c r="D47" s="24">
        <f t="shared" si="0"/>
        <v>1.5</v>
      </c>
      <c r="E47" s="24">
        <f t="shared" si="1"/>
        <v>4.5</v>
      </c>
      <c r="F47" s="24">
        <f t="shared" si="2"/>
        <v>6</v>
      </c>
      <c r="H47" s="34"/>
      <c r="I47" s="35"/>
      <c r="K47" s="2"/>
    </row>
    <row r="48" spans="2:13" ht="13" x14ac:dyDescent="0.15">
      <c r="B48" s="22" t="s">
        <v>35</v>
      </c>
      <c r="C48" s="23" t="s">
        <v>4</v>
      </c>
      <c r="D48" s="24">
        <f t="shared" si="0"/>
        <v>0.5</v>
      </c>
      <c r="E48" s="24">
        <f t="shared" si="1"/>
        <v>1.5</v>
      </c>
      <c r="F48" s="24">
        <f t="shared" si="2"/>
        <v>2</v>
      </c>
      <c r="H48" s="34"/>
      <c r="I48" s="36"/>
    </row>
    <row r="49" spans="2:6" ht="13" x14ac:dyDescent="0.15">
      <c r="B49" s="22" t="s">
        <v>36</v>
      </c>
      <c r="C49" s="23" t="s">
        <v>4</v>
      </c>
      <c r="D49" s="24">
        <f t="shared" si="0"/>
        <v>0.5</v>
      </c>
      <c r="E49" s="24">
        <f t="shared" si="1"/>
        <v>1.5</v>
      </c>
      <c r="F49" s="24">
        <f t="shared" si="2"/>
        <v>2</v>
      </c>
    </row>
    <row r="50" spans="2:6" ht="13" x14ac:dyDescent="0.15">
      <c r="B50" s="22" t="s">
        <v>37</v>
      </c>
      <c r="C50" s="23" t="s">
        <v>6</v>
      </c>
      <c r="D50" s="24">
        <f t="shared" si="0"/>
        <v>1.5</v>
      </c>
      <c r="E50" s="24">
        <f t="shared" si="1"/>
        <v>4.5</v>
      </c>
      <c r="F50" s="24">
        <f t="shared" si="2"/>
        <v>6</v>
      </c>
    </row>
    <row r="51" spans="2:6" ht="13" x14ac:dyDescent="0.15">
      <c r="B51" s="22" t="s">
        <v>38</v>
      </c>
      <c r="C51" s="23" t="s">
        <v>4</v>
      </c>
      <c r="D51" s="24">
        <f t="shared" si="0"/>
        <v>0.5</v>
      </c>
      <c r="E51" s="24">
        <f t="shared" si="1"/>
        <v>1.5</v>
      </c>
      <c r="F51" s="24">
        <f t="shared" si="2"/>
        <v>2</v>
      </c>
    </row>
    <row r="52" spans="2:6" ht="13" x14ac:dyDescent="0.15">
      <c r="B52" s="22" t="s">
        <v>39</v>
      </c>
      <c r="C52" s="23" t="s">
        <v>6</v>
      </c>
      <c r="D52" s="24">
        <f t="shared" si="0"/>
        <v>1.5</v>
      </c>
      <c r="E52" s="24">
        <f t="shared" si="1"/>
        <v>4.5</v>
      </c>
      <c r="F52" s="24">
        <f t="shared" si="2"/>
        <v>6</v>
      </c>
    </row>
    <row r="53" spans="2:6" ht="13" x14ac:dyDescent="0.15">
      <c r="B53" s="22" t="s">
        <v>40</v>
      </c>
      <c r="C53" s="23" t="s">
        <v>6</v>
      </c>
      <c r="D53" s="24">
        <f t="shared" si="0"/>
        <v>1.5</v>
      </c>
      <c r="E53" s="24">
        <f t="shared" si="1"/>
        <v>4.5</v>
      </c>
      <c r="F53" s="24">
        <f t="shared" si="2"/>
        <v>6</v>
      </c>
    </row>
    <row r="54" spans="2:6" ht="13" x14ac:dyDescent="0.15">
      <c r="B54" s="22" t="s">
        <v>41</v>
      </c>
      <c r="C54" s="23" t="s">
        <v>6</v>
      </c>
      <c r="D54" s="24">
        <f t="shared" si="0"/>
        <v>1.5</v>
      </c>
      <c r="E54" s="24">
        <f t="shared" si="1"/>
        <v>4.5</v>
      </c>
      <c r="F54" s="24">
        <f t="shared" si="2"/>
        <v>6</v>
      </c>
    </row>
    <row r="55" spans="2:6" ht="13" x14ac:dyDescent="0.15">
      <c r="B55" s="22" t="s">
        <v>42</v>
      </c>
      <c r="C55" s="23" t="s">
        <v>6</v>
      </c>
      <c r="D55" s="24">
        <f t="shared" si="0"/>
        <v>1.5</v>
      </c>
      <c r="E55" s="24">
        <f t="shared" si="1"/>
        <v>4.5</v>
      </c>
      <c r="F55" s="24">
        <f t="shared" si="2"/>
        <v>6</v>
      </c>
    </row>
    <row r="56" spans="2:6" ht="13" x14ac:dyDescent="0.15">
      <c r="B56" s="22" t="s">
        <v>43</v>
      </c>
      <c r="C56" s="23" t="s">
        <v>6</v>
      </c>
      <c r="D56" s="24">
        <f t="shared" si="0"/>
        <v>1.5</v>
      </c>
      <c r="E56" s="24">
        <f t="shared" si="1"/>
        <v>4.5</v>
      </c>
      <c r="F56" s="24">
        <f t="shared" si="2"/>
        <v>6</v>
      </c>
    </row>
    <row r="57" spans="2:6" ht="13" x14ac:dyDescent="0.15">
      <c r="B57" s="22" t="s">
        <v>44</v>
      </c>
      <c r="C57" s="23" t="s">
        <v>6</v>
      </c>
      <c r="D57" s="24">
        <f t="shared" si="0"/>
        <v>1.5</v>
      </c>
      <c r="E57" s="24">
        <f t="shared" si="1"/>
        <v>4.5</v>
      </c>
      <c r="F57" s="24">
        <f t="shared" si="2"/>
        <v>6</v>
      </c>
    </row>
    <row r="58" spans="2:6" ht="13" x14ac:dyDescent="0.15">
      <c r="B58" s="22" t="s">
        <v>45</v>
      </c>
      <c r="C58" s="23" t="s">
        <v>6</v>
      </c>
      <c r="D58" s="24">
        <f t="shared" si="0"/>
        <v>1.5</v>
      </c>
      <c r="E58" s="24">
        <f t="shared" si="1"/>
        <v>4.5</v>
      </c>
      <c r="F58" s="24">
        <f t="shared" si="2"/>
        <v>6</v>
      </c>
    </row>
    <row r="59" spans="2:6" ht="13" x14ac:dyDescent="0.15">
      <c r="B59" s="22" t="s">
        <v>46</v>
      </c>
      <c r="C59" s="23" t="s">
        <v>6</v>
      </c>
      <c r="D59" s="24">
        <f t="shared" si="0"/>
        <v>1.5</v>
      </c>
      <c r="E59" s="24">
        <f t="shared" si="1"/>
        <v>4.5</v>
      </c>
      <c r="F59" s="24">
        <f t="shared" si="2"/>
        <v>6</v>
      </c>
    </row>
    <row r="60" spans="2:6" ht="13" x14ac:dyDescent="0.15">
      <c r="B60" s="22" t="s">
        <v>47</v>
      </c>
      <c r="C60" s="23" t="s">
        <v>6</v>
      </c>
      <c r="D60" s="24">
        <f t="shared" si="0"/>
        <v>1.5</v>
      </c>
      <c r="E60" s="24">
        <f t="shared" si="1"/>
        <v>4.5</v>
      </c>
      <c r="F60" s="24">
        <f t="shared" si="2"/>
        <v>6</v>
      </c>
    </row>
    <row r="61" spans="2:6" ht="13" x14ac:dyDescent="0.15">
      <c r="B61" s="22" t="s">
        <v>48</v>
      </c>
      <c r="C61" s="23" t="s">
        <v>6</v>
      </c>
      <c r="D61" s="24">
        <f t="shared" si="0"/>
        <v>1.5</v>
      </c>
      <c r="E61" s="24">
        <f t="shared" si="1"/>
        <v>4.5</v>
      </c>
      <c r="F61" s="24">
        <f t="shared" si="2"/>
        <v>6</v>
      </c>
    </row>
    <row r="62" spans="2:6" ht="13" x14ac:dyDescent="0.15">
      <c r="B62" s="22" t="s">
        <v>49</v>
      </c>
      <c r="C62" s="23" t="s">
        <v>6</v>
      </c>
      <c r="D62" s="24">
        <f t="shared" si="0"/>
        <v>1.5</v>
      </c>
      <c r="E62" s="24">
        <f t="shared" si="1"/>
        <v>4.5</v>
      </c>
      <c r="F62" s="24">
        <f t="shared" si="2"/>
        <v>6</v>
      </c>
    </row>
    <row r="63" spans="2:6" ht="13" x14ac:dyDescent="0.15">
      <c r="B63" s="22" t="s">
        <v>50</v>
      </c>
      <c r="C63" s="23" t="s">
        <v>6</v>
      </c>
      <c r="D63" s="24">
        <f t="shared" si="0"/>
        <v>1.5</v>
      </c>
      <c r="E63" s="24">
        <f t="shared" si="1"/>
        <v>4.5</v>
      </c>
      <c r="F63" s="24">
        <f t="shared" si="2"/>
        <v>6</v>
      </c>
    </row>
    <row r="64" spans="2:6" ht="13" x14ac:dyDescent="0.15">
      <c r="B64" s="22" t="s">
        <v>51</v>
      </c>
      <c r="C64" s="23" t="s">
        <v>4</v>
      </c>
      <c r="D64" s="24">
        <f t="shared" si="0"/>
        <v>0.5</v>
      </c>
      <c r="E64" s="24">
        <f t="shared" si="1"/>
        <v>1.5</v>
      </c>
      <c r="F64" s="24">
        <f t="shared" si="2"/>
        <v>2</v>
      </c>
    </row>
    <row r="65" spans="2:9" ht="13" x14ac:dyDescent="0.15">
      <c r="B65" s="22" t="s">
        <v>52</v>
      </c>
      <c r="C65" s="23" t="s">
        <v>4</v>
      </c>
      <c r="D65" s="24">
        <f t="shared" si="0"/>
        <v>0.5</v>
      </c>
      <c r="E65" s="24">
        <f t="shared" si="1"/>
        <v>1.5</v>
      </c>
      <c r="F65" s="24">
        <f t="shared" si="2"/>
        <v>2</v>
      </c>
    </row>
    <row r="66" spans="2:9" ht="13" x14ac:dyDescent="0.15">
      <c r="B66" s="22" t="s">
        <v>53</v>
      </c>
      <c r="C66" s="23" t="s">
        <v>4</v>
      </c>
      <c r="D66" s="24">
        <f t="shared" si="0"/>
        <v>0.5</v>
      </c>
      <c r="E66" s="24">
        <f t="shared" si="1"/>
        <v>1.5</v>
      </c>
      <c r="F66" s="24">
        <f t="shared" si="2"/>
        <v>2</v>
      </c>
    </row>
    <row r="67" spans="2:9" ht="13" x14ac:dyDescent="0.15">
      <c r="B67" s="22" t="s">
        <v>54</v>
      </c>
      <c r="C67" s="23" t="s">
        <v>4</v>
      </c>
      <c r="D67" s="24">
        <f t="shared" si="0"/>
        <v>0.5</v>
      </c>
      <c r="E67" s="24">
        <f t="shared" si="1"/>
        <v>1.5</v>
      </c>
      <c r="F67" s="24">
        <f t="shared" si="2"/>
        <v>2</v>
      </c>
    </row>
    <row r="68" spans="2:9" ht="13" x14ac:dyDescent="0.15">
      <c r="B68" s="22" t="s">
        <v>55</v>
      </c>
      <c r="C68" s="23" t="s">
        <v>4</v>
      </c>
      <c r="D68" s="24">
        <f t="shared" si="0"/>
        <v>0.5</v>
      </c>
      <c r="E68" s="24">
        <f t="shared" si="1"/>
        <v>1.5</v>
      </c>
      <c r="F68" s="24">
        <f t="shared" si="2"/>
        <v>2</v>
      </c>
    </row>
    <row r="69" spans="2:9" ht="13" x14ac:dyDescent="0.15">
      <c r="B69" s="22" t="s">
        <v>56</v>
      </c>
      <c r="C69" s="23" t="s">
        <v>4</v>
      </c>
      <c r="D69" s="24">
        <f t="shared" si="0"/>
        <v>0.5</v>
      </c>
      <c r="E69" s="24">
        <f t="shared" si="1"/>
        <v>1.5</v>
      </c>
      <c r="F69" s="24">
        <f t="shared" si="2"/>
        <v>2</v>
      </c>
    </row>
    <row r="70" spans="2:9" ht="13" x14ac:dyDescent="0.15">
      <c r="B70" s="22" t="s">
        <v>57</v>
      </c>
      <c r="C70" s="23" t="s">
        <v>4</v>
      </c>
      <c r="D70" s="24">
        <f t="shared" si="0"/>
        <v>0.5</v>
      </c>
      <c r="E70" s="24">
        <f t="shared" si="1"/>
        <v>1.5</v>
      </c>
      <c r="F70" s="24">
        <f t="shared" si="2"/>
        <v>2</v>
      </c>
    </row>
    <row r="71" spans="2:9" ht="13" x14ac:dyDescent="0.15">
      <c r="B71" s="22" t="s">
        <v>58</v>
      </c>
      <c r="C71" s="23" t="s">
        <v>4</v>
      </c>
      <c r="D71" s="24">
        <f t="shared" si="0"/>
        <v>0.5</v>
      </c>
      <c r="E71" s="24">
        <f t="shared" si="1"/>
        <v>1.5</v>
      </c>
      <c r="F71" s="24">
        <f t="shared" si="2"/>
        <v>2</v>
      </c>
    </row>
    <row r="72" spans="2:9" ht="13" x14ac:dyDescent="0.15">
      <c r="B72" s="22" t="s">
        <v>59</v>
      </c>
      <c r="C72" s="23" t="s">
        <v>4</v>
      </c>
      <c r="D72" s="24">
        <f t="shared" si="0"/>
        <v>0.5</v>
      </c>
      <c r="E72" s="24">
        <f t="shared" si="1"/>
        <v>1.5</v>
      </c>
      <c r="F72" s="24">
        <f t="shared" si="2"/>
        <v>2</v>
      </c>
    </row>
    <row r="73" spans="2:9" ht="13" x14ac:dyDescent="0.15">
      <c r="B73" s="22" t="s">
        <v>60</v>
      </c>
      <c r="C73" s="23" t="s">
        <v>4</v>
      </c>
      <c r="D73" s="24">
        <f t="shared" si="0"/>
        <v>0.5</v>
      </c>
      <c r="E73" s="24">
        <f t="shared" si="1"/>
        <v>1.5</v>
      </c>
      <c r="F73" s="24">
        <f t="shared" si="2"/>
        <v>2</v>
      </c>
    </row>
    <row r="75" spans="2:9" ht="13" x14ac:dyDescent="0.15">
      <c r="H75" s="21" t="s">
        <v>16</v>
      </c>
      <c r="I75" s="25">
        <f>SUM(F30:F73)</f>
        <v>196</v>
      </c>
    </row>
    <row r="76" spans="2:9" ht="13" x14ac:dyDescent="0.15">
      <c r="H76" s="21" t="s">
        <v>61</v>
      </c>
      <c r="I76" s="26">
        <f>I75/8</f>
        <v>24.5</v>
      </c>
    </row>
  </sheetData>
  <mergeCells count="6">
    <mergeCell ref="E1:G1"/>
    <mergeCell ref="B6:C6"/>
    <mergeCell ref="F18:H18"/>
    <mergeCell ref="B18:D18"/>
    <mergeCell ref="J6:M11"/>
    <mergeCell ref="J18:M24"/>
  </mergeCells>
  <conditionalFormatting sqref="D20">
    <cfRule type="notContainsBlanks" dxfId="0" priority="1">
      <formula>LEN(TRIM(D20))&gt;0</formula>
    </cfRule>
  </conditionalFormatting>
  <dataValidations count="1">
    <dataValidation type="list" allowBlank="1" showErrorMessage="1" sqref="C30:C44" xr:uid="{00000000-0002-0000-0000-000000000000}">
      <formula1>"Non applicable,Simple,Moyen,Complexe"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chouiref</cp:lastModifiedBy>
  <dcterms:created xsi:type="dcterms:W3CDTF">2026-09-16T14:18:29Z</dcterms:created>
  <dcterms:modified xsi:type="dcterms:W3CDTF">2026-10-09T15:22:24Z</dcterms:modified>
</cp:coreProperties>
</file>